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</sheets>
  <definedNames/>
  <calcPr/>
</workbook>
</file>

<file path=xl/sharedStrings.xml><?xml version="1.0" encoding="utf-8"?>
<sst xmlns="http://schemas.openxmlformats.org/spreadsheetml/2006/main" count="461" uniqueCount="89">
  <si>
    <t>Date</t>
  </si>
  <si>
    <t>ROASTER</t>
  </si>
  <si>
    <t>LOGIN</t>
  </si>
  <si>
    <t>NAME</t>
  </si>
  <si>
    <t>STAFF CATEGORY</t>
  </si>
  <si>
    <t>SUB SKILL</t>
  </si>
  <si>
    <t>REGION</t>
  </si>
  <si>
    <t>TEAM</t>
  </si>
  <si>
    <t>GROUP</t>
  </si>
  <si>
    <t>Contact</t>
  </si>
  <si>
    <t>CLOSED FSM TASK</t>
  </si>
  <si>
    <t>Closed MSD/IVR</t>
  </si>
  <si>
    <t>Internal</t>
  </si>
  <si>
    <t>TOTAL CLOSING</t>
  </si>
  <si>
    <t>Staff</t>
  </si>
  <si>
    <t>Supervisor</t>
  </si>
  <si>
    <t>05/28/25</t>
  </si>
  <si>
    <t>AFTERNOON</t>
  </si>
  <si>
    <t>user001</t>
  </si>
  <si>
    <t>Aditya Rao</t>
  </si>
  <si>
    <t>CFS</t>
  </si>
  <si>
    <t>FTTH</t>
  </si>
  <si>
    <t>Abu Dhabi</t>
  </si>
  <si>
    <t>AAN-TAWAM</t>
  </si>
  <si>
    <t>ALH-GROUP-1</t>
  </si>
  <si>
    <t>565267188</t>
  </si>
  <si>
    <t>Umair Balouch</t>
  </si>
  <si>
    <t>05/14/25</t>
  </si>
  <si>
    <t>05/23/25</t>
  </si>
  <si>
    <t>MORNING</t>
  </si>
  <si>
    <t>05/18/25</t>
  </si>
  <si>
    <t>user002</t>
  </si>
  <si>
    <t>Aman Sharma</t>
  </si>
  <si>
    <t>SMART HOME</t>
  </si>
  <si>
    <t>AAN-JIMM</t>
  </si>
  <si>
    <t>ALH-GROUP-2</t>
  </si>
  <si>
    <t>565486736</t>
  </si>
  <si>
    <t>05/21/25</t>
  </si>
  <si>
    <t>EVENING</t>
  </si>
  <si>
    <t>Adnan Tariq</t>
  </si>
  <si>
    <t>05/07/25</t>
  </si>
  <si>
    <t>05/20/25</t>
  </si>
  <si>
    <t>05/27/25</t>
  </si>
  <si>
    <t>user003</t>
  </si>
  <si>
    <t>Anjali Nair</t>
  </si>
  <si>
    <t>LTE MSC</t>
  </si>
  <si>
    <t>AAN-ZAKHER</t>
  </si>
  <si>
    <t>ALH-GROUP-3</t>
  </si>
  <si>
    <t>565319642</t>
  </si>
  <si>
    <t>Ahmed Mahmoud</t>
  </si>
  <si>
    <t>05/08/25</t>
  </si>
  <si>
    <t>05/13/25</t>
  </si>
  <si>
    <t>05/26/25</t>
  </si>
  <si>
    <t>05/06/25</t>
  </si>
  <si>
    <t>05/17/25</t>
  </si>
  <si>
    <t>05/15/25</t>
  </si>
  <si>
    <t>user004</t>
  </si>
  <si>
    <t>Karan Singh</t>
  </si>
  <si>
    <t>AAN-CENTRAL</t>
  </si>
  <si>
    <t>ALH-GROUP-4</t>
  </si>
  <si>
    <t>05/22/25</t>
  </si>
  <si>
    <t>565387951</t>
  </si>
  <si>
    <t>user005</t>
  </si>
  <si>
    <t>Neha Joshi</t>
  </si>
  <si>
    <t>ALH-GROUP-5</t>
  </si>
  <si>
    <t>05/16/25</t>
  </si>
  <si>
    <t>565583118</t>
  </si>
  <si>
    <t>user006</t>
  </si>
  <si>
    <t>Pooja Mehta</t>
  </si>
  <si>
    <t>ALH-GROUP-6</t>
  </si>
  <si>
    <t>565554784</t>
  </si>
  <si>
    <t>user007</t>
  </si>
  <si>
    <t>Rahul Kumar</t>
  </si>
  <si>
    <t>ALH-GROUP-7</t>
  </si>
  <si>
    <t>05/02/25</t>
  </si>
  <si>
    <t>user008</t>
  </si>
  <si>
    <t>Rohit Verma</t>
  </si>
  <si>
    <t>ALH-GROUP-8</t>
  </si>
  <si>
    <t>565933283</t>
  </si>
  <si>
    <t>user009</t>
  </si>
  <si>
    <t>Sneha Patel</t>
  </si>
  <si>
    <t>ALH-GROUP-9</t>
  </si>
  <si>
    <t>565378436</t>
  </si>
  <si>
    <t>user010</t>
  </si>
  <si>
    <t>Vikram Das</t>
  </si>
  <si>
    <t>ALH-GROUP-10</t>
  </si>
  <si>
    <t>565348893</t>
  </si>
  <si>
    <t>05/10/25</t>
  </si>
  <si>
    <t>05/24/25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</si>
</sst>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3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6A1B9A"/>
        <bgColor rgb="FF6A1B9A"/>
      </patternFill>
    </fill>
    <fill>
      <patternFill patternType="solid">
        <fgColor rgb="FF1E88E5"/>
        <bgColor rgb="FF1E88E5"/>
      </patternFill>
    </fill>
    <fill>
      <patternFill patternType="solid">
        <fgColor rgb="FFD1C4E9"/>
        <bgColor rgb="FFD1C4E9"/>
      </patternFill>
    </fill>
    <fill>
      <patternFill patternType="solid">
        <fgColor rgb="FFEF9A9A"/>
        <bgColor rgb="FFEF9A9A"/>
      </patternFill>
    </fill>
    <fill>
      <patternFill patternType="solid">
        <fgColor rgb="FFF8BBD0"/>
        <bgColor rgb="FFF8BBD0"/>
      </patternFill>
    </fill>
    <fill>
      <patternFill patternType="solid">
        <fgColor rgb="FFE8F5E9"/>
        <bgColor rgb="FFE8F5E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ill="1" applyFont="1">
      <alignment horizontal="center" vertical="center"/>
    </xf>
    <xf borderId="1" fillId="7" fontId="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3" fontId="2" numFmtId="16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6" max="16" width="16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16</v>
      </c>
      <c r="B2" s="5" t="s">
        <v>17</v>
      </c>
      <c r="C2" s="6" t="s">
        <v>18</v>
      </c>
      <c r="D2" s="7" t="s">
        <v>19</v>
      </c>
      <c r="E2" s="8" t="s">
        <v>20</v>
      </c>
      <c r="F2" s="9" t="s">
        <v>21</v>
      </c>
      <c r="G2" s="9" t="s">
        <v>22</v>
      </c>
      <c r="H2" s="9" t="s">
        <v>23</v>
      </c>
      <c r="I2" s="9" t="s">
        <v>24</v>
      </c>
      <c r="J2" s="9" t="s">
        <v>25</v>
      </c>
      <c r="K2" s="9">
        <v>7.0</v>
      </c>
      <c r="L2" s="9">
        <v>4.0</v>
      </c>
      <c r="M2" s="9"/>
      <c r="N2" s="9">
        <f t="shared" ref="N2:N41" si="1">sum(K2:M2)</f>
        <v>11</v>
      </c>
      <c r="O2" s="9" t="s">
        <v>19</v>
      </c>
      <c r="P2" s="9" t="s">
        <v>26</v>
      </c>
    </row>
    <row r="3">
      <c r="A3" s="4" t="s">
        <v>27</v>
      </c>
      <c r="B3" s="5" t="s">
        <v>17</v>
      </c>
      <c r="C3" s="6" t="s">
        <v>18</v>
      </c>
      <c r="D3" s="7" t="s">
        <v>19</v>
      </c>
      <c r="E3" s="8" t="s">
        <v>20</v>
      </c>
      <c r="F3" s="9" t="s">
        <v>21</v>
      </c>
      <c r="G3" s="9" t="s">
        <v>22</v>
      </c>
      <c r="H3" s="10" t="s">
        <v>23</v>
      </c>
      <c r="I3" s="9" t="s">
        <v>24</v>
      </c>
      <c r="J3" s="10">
        <v>5.65267188E8</v>
      </c>
      <c r="K3" s="9">
        <v>7.0</v>
      </c>
      <c r="L3" s="9">
        <v>5.0</v>
      </c>
      <c r="M3" s="9"/>
      <c r="N3" s="9">
        <f t="shared" si="1"/>
        <v>12</v>
      </c>
      <c r="O3" s="9" t="s">
        <v>19</v>
      </c>
      <c r="P3" s="9" t="s">
        <v>26</v>
      </c>
    </row>
    <row r="4">
      <c r="A4" s="4" t="s">
        <v>28</v>
      </c>
      <c r="B4" s="5" t="s">
        <v>29</v>
      </c>
      <c r="C4" s="6" t="s">
        <v>18</v>
      </c>
      <c r="D4" s="7" t="s">
        <v>19</v>
      </c>
      <c r="E4" s="8" t="s">
        <v>20</v>
      </c>
      <c r="F4" s="9" t="s">
        <v>21</v>
      </c>
      <c r="G4" s="9" t="s">
        <v>22</v>
      </c>
      <c r="H4" s="10" t="s">
        <v>23</v>
      </c>
      <c r="I4" s="9" t="s">
        <v>24</v>
      </c>
      <c r="J4" s="10">
        <v>5.65267188E8</v>
      </c>
      <c r="K4" s="9">
        <v>5.0</v>
      </c>
      <c r="L4" s="9">
        <v>5.0</v>
      </c>
      <c r="M4" s="9"/>
      <c r="N4" s="9">
        <f t="shared" si="1"/>
        <v>10</v>
      </c>
      <c r="O4" s="9" t="s">
        <v>19</v>
      </c>
      <c r="P4" s="9" t="s">
        <v>26</v>
      </c>
    </row>
    <row r="5">
      <c r="A5" s="4" t="s">
        <v>30</v>
      </c>
      <c r="B5" s="5" t="s">
        <v>17</v>
      </c>
      <c r="C5" s="6" t="s">
        <v>31</v>
      </c>
      <c r="D5" s="7" t="s">
        <v>32</v>
      </c>
      <c r="E5" s="8" t="s">
        <v>20</v>
      </c>
      <c r="F5" s="9" t="s">
        <v>33</v>
      </c>
      <c r="G5" s="9" t="s">
        <v>22</v>
      </c>
      <c r="H5" s="10" t="s">
        <v>34</v>
      </c>
      <c r="I5" s="10" t="s">
        <v>35</v>
      </c>
      <c r="J5" s="9" t="s">
        <v>36</v>
      </c>
      <c r="K5" s="9">
        <v>5.0</v>
      </c>
      <c r="L5" s="9">
        <v>4.0</v>
      </c>
      <c r="M5" s="9"/>
      <c r="N5" s="9">
        <f t="shared" si="1"/>
        <v>9</v>
      </c>
      <c r="O5" s="9" t="s">
        <v>32</v>
      </c>
      <c r="P5" s="9" t="s">
        <v>26</v>
      </c>
    </row>
    <row r="6">
      <c r="A6" s="4" t="s">
        <v>37</v>
      </c>
      <c r="B6" s="5" t="s">
        <v>38</v>
      </c>
      <c r="C6" s="6" t="s">
        <v>31</v>
      </c>
      <c r="D6" s="7" t="s">
        <v>32</v>
      </c>
      <c r="E6" s="8" t="s">
        <v>20</v>
      </c>
      <c r="F6" s="9" t="s">
        <v>33</v>
      </c>
      <c r="G6" s="9" t="s">
        <v>22</v>
      </c>
      <c r="H6" s="10" t="s">
        <v>34</v>
      </c>
      <c r="I6" s="10" t="s">
        <v>35</v>
      </c>
      <c r="J6" s="10">
        <v>5.65486736E8</v>
      </c>
      <c r="K6" s="9">
        <v>2.0</v>
      </c>
      <c r="L6" s="9">
        <v>1.0</v>
      </c>
      <c r="M6" s="9"/>
      <c r="N6" s="9">
        <f t="shared" si="1"/>
        <v>3</v>
      </c>
      <c r="O6" s="9" t="s">
        <v>32</v>
      </c>
      <c r="P6" s="9" t="s">
        <v>39</v>
      </c>
    </row>
    <row r="7">
      <c r="A7" s="11">
        <v>45799.0</v>
      </c>
      <c r="B7" s="5" t="s">
        <v>17</v>
      </c>
      <c r="C7" s="6" t="s">
        <v>31</v>
      </c>
      <c r="D7" s="7" t="s">
        <v>32</v>
      </c>
      <c r="E7" s="8" t="s">
        <v>20</v>
      </c>
      <c r="F7" s="9" t="s">
        <v>33</v>
      </c>
      <c r="G7" s="9" t="s">
        <v>22</v>
      </c>
      <c r="H7" s="10" t="s">
        <v>34</v>
      </c>
      <c r="I7" s="10" t="s">
        <v>35</v>
      </c>
      <c r="J7" s="10">
        <v>5.65486736E8</v>
      </c>
      <c r="K7" s="9">
        <v>3.0</v>
      </c>
      <c r="L7" s="9">
        <v>5.0</v>
      </c>
      <c r="M7" s="9"/>
      <c r="N7" s="9">
        <f t="shared" si="1"/>
        <v>8</v>
      </c>
      <c r="O7" s="9" t="s">
        <v>32</v>
      </c>
      <c r="P7" s="9" t="s">
        <v>39</v>
      </c>
    </row>
    <row r="8">
      <c r="A8" s="4" t="s">
        <v>40</v>
      </c>
      <c r="B8" s="5" t="s">
        <v>29</v>
      </c>
      <c r="C8" s="6" t="s">
        <v>31</v>
      </c>
      <c r="D8" s="7" t="s">
        <v>32</v>
      </c>
      <c r="E8" s="8" t="s">
        <v>20</v>
      </c>
      <c r="F8" s="9" t="s">
        <v>33</v>
      </c>
      <c r="G8" s="9" t="s">
        <v>22</v>
      </c>
      <c r="H8" s="10" t="s">
        <v>34</v>
      </c>
      <c r="I8" s="10" t="s">
        <v>35</v>
      </c>
      <c r="J8" s="10">
        <v>5.65486736E8</v>
      </c>
      <c r="K8" s="9">
        <v>6.0</v>
      </c>
      <c r="L8" s="9">
        <v>2.0</v>
      </c>
      <c r="M8" s="9"/>
      <c r="N8" s="9">
        <f t="shared" si="1"/>
        <v>8</v>
      </c>
      <c r="O8" s="9" t="s">
        <v>32</v>
      </c>
      <c r="P8" s="9" t="s">
        <v>39</v>
      </c>
    </row>
    <row r="9">
      <c r="A9" s="4" t="s">
        <v>28</v>
      </c>
      <c r="B9" s="5" t="s">
        <v>29</v>
      </c>
      <c r="C9" s="6" t="s">
        <v>31</v>
      </c>
      <c r="D9" s="7" t="s">
        <v>32</v>
      </c>
      <c r="E9" s="8" t="s">
        <v>20</v>
      </c>
      <c r="F9" s="9" t="s">
        <v>33</v>
      </c>
      <c r="G9" s="9" t="s">
        <v>22</v>
      </c>
      <c r="H9" s="10" t="s">
        <v>34</v>
      </c>
      <c r="I9" s="10" t="s">
        <v>35</v>
      </c>
      <c r="J9" s="10">
        <v>5.65486736E8</v>
      </c>
      <c r="K9" s="9">
        <v>1.0</v>
      </c>
      <c r="L9" s="9">
        <v>1.0</v>
      </c>
      <c r="M9" s="9"/>
      <c r="N9" s="9">
        <f t="shared" si="1"/>
        <v>2</v>
      </c>
      <c r="O9" s="9" t="s">
        <v>32</v>
      </c>
      <c r="P9" s="9" t="s">
        <v>39</v>
      </c>
    </row>
    <row r="10">
      <c r="A10" s="4" t="s">
        <v>41</v>
      </c>
      <c r="B10" s="5" t="s">
        <v>38</v>
      </c>
      <c r="C10" s="6" t="s">
        <v>31</v>
      </c>
      <c r="D10" s="7" t="s">
        <v>32</v>
      </c>
      <c r="E10" s="8" t="s">
        <v>20</v>
      </c>
      <c r="F10" s="9" t="s">
        <v>33</v>
      </c>
      <c r="G10" s="9" t="s">
        <v>22</v>
      </c>
      <c r="H10" s="10" t="s">
        <v>34</v>
      </c>
      <c r="I10" s="10" t="s">
        <v>35</v>
      </c>
      <c r="J10" s="10">
        <v>5.65486736E8</v>
      </c>
      <c r="K10" s="9">
        <v>6.0</v>
      </c>
      <c r="L10" s="9">
        <v>1.0</v>
      </c>
      <c r="M10" s="9"/>
      <c r="N10" s="9">
        <f t="shared" si="1"/>
        <v>7</v>
      </c>
      <c r="O10" s="9" t="s">
        <v>32</v>
      </c>
      <c r="P10" s="9" t="s">
        <v>39</v>
      </c>
    </row>
    <row r="11">
      <c r="A11" s="4" t="s">
        <v>42</v>
      </c>
      <c r="B11" s="5" t="s">
        <v>29</v>
      </c>
      <c r="C11" s="6" t="s">
        <v>31</v>
      </c>
      <c r="D11" s="7" t="s">
        <v>32</v>
      </c>
      <c r="E11" s="8" t="s">
        <v>20</v>
      </c>
      <c r="F11" s="9" t="s">
        <v>33</v>
      </c>
      <c r="G11" s="9" t="s">
        <v>22</v>
      </c>
      <c r="H11" s="10" t="s">
        <v>34</v>
      </c>
      <c r="I11" s="10" t="s">
        <v>35</v>
      </c>
      <c r="J11" s="10">
        <v>5.65486736E8</v>
      </c>
      <c r="K11" s="9">
        <v>5.0</v>
      </c>
      <c r="L11" s="9">
        <v>4.0</v>
      </c>
      <c r="M11" s="9"/>
      <c r="N11" s="9">
        <f t="shared" si="1"/>
        <v>9</v>
      </c>
      <c r="O11" s="9" t="s">
        <v>32</v>
      </c>
      <c r="P11" s="9" t="s">
        <v>39</v>
      </c>
    </row>
    <row r="12">
      <c r="A12" s="4" t="s">
        <v>40</v>
      </c>
      <c r="B12" s="5" t="s">
        <v>38</v>
      </c>
      <c r="C12" s="6" t="s">
        <v>43</v>
      </c>
      <c r="D12" s="7" t="s">
        <v>44</v>
      </c>
      <c r="E12" s="8" t="s">
        <v>20</v>
      </c>
      <c r="F12" s="10" t="s">
        <v>45</v>
      </c>
      <c r="G12" s="9" t="s">
        <v>22</v>
      </c>
      <c r="H12" s="10" t="s">
        <v>46</v>
      </c>
      <c r="I12" s="10" t="s">
        <v>47</v>
      </c>
      <c r="J12" s="9" t="s">
        <v>48</v>
      </c>
      <c r="K12" s="9">
        <v>2.0</v>
      </c>
      <c r="L12" s="9">
        <v>3.0</v>
      </c>
      <c r="M12" s="9"/>
      <c r="N12" s="9">
        <f t="shared" si="1"/>
        <v>5</v>
      </c>
      <c r="O12" s="9" t="s">
        <v>44</v>
      </c>
      <c r="P12" s="10" t="s">
        <v>49</v>
      </c>
    </row>
    <row r="13">
      <c r="A13" s="4" t="s">
        <v>50</v>
      </c>
      <c r="B13" s="5" t="s">
        <v>29</v>
      </c>
      <c r="C13" s="6" t="s">
        <v>43</v>
      </c>
      <c r="D13" s="7" t="s">
        <v>44</v>
      </c>
      <c r="E13" s="8" t="s">
        <v>20</v>
      </c>
      <c r="F13" s="10" t="s">
        <v>45</v>
      </c>
      <c r="G13" s="9" t="s">
        <v>22</v>
      </c>
      <c r="H13" s="10" t="s">
        <v>46</v>
      </c>
      <c r="I13" s="10" t="s">
        <v>47</v>
      </c>
      <c r="J13" s="10">
        <v>5.65319642E8</v>
      </c>
      <c r="K13" s="9">
        <v>7.0</v>
      </c>
      <c r="L13" s="9">
        <v>1.0</v>
      </c>
      <c r="M13" s="9"/>
      <c r="N13" s="9">
        <f t="shared" si="1"/>
        <v>8</v>
      </c>
      <c r="O13" s="9" t="s">
        <v>44</v>
      </c>
      <c r="P13" s="10" t="s">
        <v>49</v>
      </c>
    </row>
    <row r="14">
      <c r="A14" s="4" t="s">
        <v>51</v>
      </c>
      <c r="B14" s="5" t="s">
        <v>29</v>
      </c>
      <c r="C14" s="6" t="s">
        <v>43</v>
      </c>
      <c r="D14" s="7" t="s">
        <v>44</v>
      </c>
      <c r="E14" s="8" t="s">
        <v>20</v>
      </c>
      <c r="F14" s="10" t="s">
        <v>45</v>
      </c>
      <c r="G14" s="9" t="s">
        <v>22</v>
      </c>
      <c r="H14" s="10" t="s">
        <v>46</v>
      </c>
      <c r="I14" s="10" t="s">
        <v>47</v>
      </c>
      <c r="J14" s="10">
        <v>5.65319642E8</v>
      </c>
      <c r="K14" s="9">
        <v>6.0</v>
      </c>
      <c r="L14" s="9">
        <v>3.0</v>
      </c>
      <c r="M14" s="9"/>
      <c r="N14" s="9">
        <f t="shared" si="1"/>
        <v>9</v>
      </c>
      <c r="O14" s="9" t="s">
        <v>44</v>
      </c>
      <c r="P14" s="9" t="s">
        <v>49</v>
      </c>
    </row>
    <row r="15">
      <c r="A15" s="4" t="s">
        <v>42</v>
      </c>
      <c r="B15" s="5" t="s">
        <v>17</v>
      </c>
      <c r="C15" s="6" t="s">
        <v>43</v>
      </c>
      <c r="D15" s="7" t="s">
        <v>44</v>
      </c>
      <c r="E15" s="8" t="s">
        <v>20</v>
      </c>
      <c r="F15" s="10" t="s">
        <v>45</v>
      </c>
      <c r="G15" s="9" t="s">
        <v>22</v>
      </c>
      <c r="H15" s="10" t="s">
        <v>46</v>
      </c>
      <c r="I15" s="10" t="s">
        <v>47</v>
      </c>
      <c r="J15" s="10">
        <v>5.65319642E8</v>
      </c>
      <c r="K15" s="9">
        <v>4.0</v>
      </c>
      <c r="L15" s="9">
        <v>1.0</v>
      </c>
      <c r="M15" s="9"/>
      <c r="N15" s="9">
        <f t="shared" si="1"/>
        <v>5</v>
      </c>
      <c r="O15" s="9" t="s">
        <v>44</v>
      </c>
      <c r="P15" s="10" t="s">
        <v>49</v>
      </c>
    </row>
    <row r="16">
      <c r="A16" s="4" t="s">
        <v>52</v>
      </c>
      <c r="B16" s="5" t="s">
        <v>29</v>
      </c>
      <c r="C16" s="6" t="s">
        <v>43</v>
      </c>
      <c r="D16" s="7" t="s">
        <v>44</v>
      </c>
      <c r="E16" s="8" t="s">
        <v>20</v>
      </c>
      <c r="F16" s="10" t="s">
        <v>45</v>
      </c>
      <c r="G16" s="9" t="s">
        <v>22</v>
      </c>
      <c r="H16" s="10" t="s">
        <v>46</v>
      </c>
      <c r="I16" s="10" t="s">
        <v>47</v>
      </c>
      <c r="J16" s="10">
        <v>5.65319642E8</v>
      </c>
      <c r="K16" s="9">
        <v>3.0</v>
      </c>
      <c r="L16" s="9">
        <v>0.0</v>
      </c>
      <c r="M16" s="9"/>
      <c r="N16" s="9">
        <f t="shared" si="1"/>
        <v>3</v>
      </c>
      <c r="O16" s="9" t="s">
        <v>44</v>
      </c>
      <c r="P16" s="10" t="s">
        <v>49</v>
      </c>
    </row>
    <row r="17">
      <c r="A17" s="11">
        <v>45791.0</v>
      </c>
      <c r="B17" s="5" t="s">
        <v>38</v>
      </c>
      <c r="C17" s="6" t="s">
        <v>43</v>
      </c>
      <c r="D17" s="7" t="s">
        <v>44</v>
      </c>
      <c r="E17" s="8" t="s">
        <v>20</v>
      </c>
      <c r="F17" s="10" t="s">
        <v>45</v>
      </c>
      <c r="G17" s="9" t="s">
        <v>22</v>
      </c>
      <c r="H17" s="10" t="s">
        <v>46</v>
      </c>
      <c r="I17" s="10" t="s">
        <v>47</v>
      </c>
      <c r="J17" s="10">
        <v>5.65319642E8</v>
      </c>
      <c r="K17" s="9">
        <v>6.0</v>
      </c>
      <c r="L17" s="9">
        <v>2.0</v>
      </c>
      <c r="M17" s="9"/>
      <c r="N17" s="9">
        <f t="shared" si="1"/>
        <v>8</v>
      </c>
      <c r="O17" s="9" t="s">
        <v>44</v>
      </c>
      <c r="P17" s="9" t="s">
        <v>49</v>
      </c>
    </row>
    <row r="18">
      <c r="A18" s="4" t="s">
        <v>53</v>
      </c>
      <c r="B18" s="5" t="s">
        <v>29</v>
      </c>
      <c r="C18" s="6" t="s">
        <v>43</v>
      </c>
      <c r="D18" s="7" t="s">
        <v>44</v>
      </c>
      <c r="E18" s="8" t="s">
        <v>20</v>
      </c>
      <c r="F18" s="10" t="s">
        <v>45</v>
      </c>
      <c r="G18" s="9" t="s">
        <v>22</v>
      </c>
      <c r="H18" s="10" t="s">
        <v>46</v>
      </c>
      <c r="I18" s="10" t="s">
        <v>47</v>
      </c>
      <c r="J18" s="10">
        <v>5.65319642E8</v>
      </c>
      <c r="K18" s="9">
        <v>1.0</v>
      </c>
      <c r="L18" s="9">
        <v>4.0</v>
      </c>
      <c r="M18" s="9"/>
      <c r="N18" s="9">
        <f t="shared" si="1"/>
        <v>5</v>
      </c>
      <c r="O18" s="9" t="s">
        <v>44</v>
      </c>
      <c r="P18" s="10" t="s">
        <v>49</v>
      </c>
    </row>
    <row r="19">
      <c r="A19" s="4" t="s">
        <v>54</v>
      </c>
      <c r="B19" s="5" t="s">
        <v>38</v>
      </c>
      <c r="C19" s="6" t="s">
        <v>43</v>
      </c>
      <c r="D19" s="7" t="s">
        <v>44</v>
      </c>
      <c r="E19" s="8" t="s">
        <v>20</v>
      </c>
      <c r="F19" s="10" t="s">
        <v>45</v>
      </c>
      <c r="G19" s="9" t="s">
        <v>22</v>
      </c>
      <c r="H19" s="10" t="s">
        <v>46</v>
      </c>
      <c r="I19" s="10" t="s">
        <v>47</v>
      </c>
      <c r="J19" s="10">
        <v>5.65319642E8</v>
      </c>
      <c r="K19" s="9">
        <v>4.0</v>
      </c>
      <c r="L19" s="9">
        <v>4.0</v>
      </c>
      <c r="M19" s="9"/>
      <c r="N19" s="9">
        <f t="shared" si="1"/>
        <v>8</v>
      </c>
      <c r="O19" s="9" t="s">
        <v>44</v>
      </c>
      <c r="P19" s="10" t="s">
        <v>49</v>
      </c>
    </row>
    <row r="20">
      <c r="A20" s="4" t="s">
        <v>55</v>
      </c>
      <c r="B20" s="5" t="s">
        <v>17</v>
      </c>
      <c r="C20" s="6" t="s">
        <v>56</v>
      </c>
      <c r="D20" s="7" t="s">
        <v>57</v>
      </c>
      <c r="E20" s="8" t="s">
        <v>20</v>
      </c>
      <c r="F20" s="10" t="s">
        <v>33</v>
      </c>
      <c r="G20" s="9" t="s">
        <v>22</v>
      </c>
      <c r="H20" s="9" t="s">
        <v>58</v>
      </c>
      <c r="I20" s="10" t="s">
        <v>59</v>
      </c>
      <c r="J20" s="10">
        <v>5.65387951E8</v>
      </c>
      <c r="K20" s="9">
        <v>6.0</v>
      </c>
      <c r="L20" s="9">
        <v>4.0</v>
      </c>
      <c r="M20" s="9"/>
      <c r="N20" s="9">
        <f t="shared" si="1"/>
        <v>10</v>
      </c>
      <c r="O20" s="9" t="s">
        <v>57</v>
      </c>
      <c r="P20" s="10" t="s">
        <v>26</v>
      </c>
    </row>
    <row r="21">
      <c r="A21" s="4" t="s">
        <v>51</v>
      </c>
      <c r="B21" s="5" t="s">
        <v>38</v>
      </c>
      <c r="C21" s="6" t="s">
        <v>56</v>
      </c>
      <c r="D21" s="7" t="s">
        <v>57</v>
      </c>
      <c r="E21" s="8" t="s">
        <v>20</v>
      </c>
      <c r="F21" s="10" t="s">
        <v>33</v>
      </c>
      <c r="G21" s="9" t="s">
        <v>22</v>
      </c>
      <c r="H21" s="9" t="s">
        <v>58</v>
      </c>
      <c r="I21" s="10" t="s">
        <v>59</v>
      </c>
      <c r="J21" s="10">
        <v>5.65387951E8</v>
      </c>
      <c r="K21" s="9">
        <v>5.0</v>
      </c>
      <c r="L21" s="9">
        <v>5.0</v>
      </c>
      <c r="M21" s="9"/>
      <c r="N21" s="9">
        <f t="shared" si="1"/>
        <v>10</v>
      </c>
      <c r="O21" s="9" t="s">
        <v>57</v>
      </c>
      <c r="P21" s="10" t="s">
        <v>26</v>
      </c>
    </row>
    <row r="22">
      <c r="A22" s="4" t="s">
        <v>53</v>
      </c>
      <c r="B22" s="5" t="s">
        <v>38</v>
      </c>
      <c r="C22" s="6" t="s">
        <v>56</v>
      </c>
      <c r="D22" s="7" t="s">
        <v>57</v>
      </c>
      <c r="E22" s="8" t="s">
        <v>20</v>
      </c>
      <c r="F22" s="10" t="s">
        <v>33</v>
      </c>
      <c r="G22" s="9" t="s">
        <v>22</v>
      </c>
      <c r="H22" s="9" t="s">
        <v>58</v>
      </c>
      <c r="I22" s="10" t="s">
        <v>59</v>
      </c>
      <c r="J22" s="10">
        <v>5.65387951E8</v>
      </c>
      <c r="K22" s="9">
        <v>5.0</v>
      </c>
      <c r="L22" s="9">
        <v>2.0</v>
      </c>
      <c r="M22" s="9"/>
      <c r="N22" s="9">
        <f t="shared" si="1"/>
        <v>7</v>
      </c>
      <c r="O22" s="9" t="s">
        <v>57</v>
      </c>
      <c r="P22" s="10" t="s">
        <v>26</v>
      </c>
    </row>
    <row r="23">
      <c r="A23" s="4" t="s">
        <v>27</v>
      </c>
      <c r="B23" s="5" t="s">
        <v>17</v>
      </c>
      <c r="C23" s="6" t="s">
        <v>56</v>
      </c>
      <c r="D23" s="7" t="s">
        <v>57</v>
      </c>
      <c r="E23" s="8" t="s">
        <v>20</v>
      </c>
      <c r="F23" s="10" t="s">
        <v>33</v>
      </c>
      <c r="G23" s="9" t="s">
        <v>22</v>
      </c>
      <c r="H23" s="9" t="s">
        <v>58</v>
      </c>
      <c r="I23" s="10" t="s">
        <v>59</v>
      </c>
      <c r="J23" s="10">
        <v>5.65387951E8</v>
      </c>
      <c r="K23" s="9">
        <v>6.0</v>
      </c>
      <c r="L23" s="9">
        <v>2.0</v>
      </c>
      <c r="M23" s="9"/>
      <c r="N23" s="9">
        <f t="shared" si="1"/>
        <v>8</v>
      </c>
      <c r="O23" s="9" t="s">
        <v>57</v>
      </c>
      <c r="P23" s="10" t="s">
        <v>26</v>
      </c>
    </row>
    <row r="24">
      <c r="A24" s="4" t="s">
        <v>60</v>
      </c>
      <c r="B24" s="5" t="s">
        <v>29</v>
      </c>
      <c r="C24" s="6" t="s">
        <v>56</v>
      </c>
      <c r="D24" s="7" t="s">
        <v>57</v>
      </c>
      <c r="E24" s="8" t="s">
        <v>20</v>
      </c>
      <c r="F24" s="10" t="s">
        <v>33</v>
      </c>
      <c r="G24" s="9" t="s">
        <v>22</v>
      </c>
      <c r="H24" s="9" t="s">
        <v>58</v>
      </c>
      <c r="I24" s="10" t="s">
        <v>59</v>
      </c>
      <c r="J24" s="9" t="s">
        <v>61</v>
      </c>
      <c r="K24" s="9">
        <v>6.0</v>
      </c>
      <c r="L24" s="9">
        <v>0.0</v>
      </c>
      <c r="M24" s="9"/>
      <c r="N24" s="9">
        <f t="shared" si="1"/>
        <v>6</v>
      </c>
      <c r="O24" s="9" t="s">
        <v>57</v>
      </c>
      <c r="P24" s="10" t="s">
        <v>26</v>
      </c>
    </row>
    <row r="25">
      <c r="A25" s="4" t="s">
        <v>60</v>
      </c>
      <c r="B25" s="5" t="s">
        <v>38</v>
      </c>
      <c r="C25" s="6" t="s">
        <v>62</v>
      </c>
      <c r="D25" s="7" t="s">
        <v>63</v>
      </c>
      <c r="E25" s="8" t="s">
        <v>20</v>
      </c>
      <c r="F25" s="10" t="s">
        <v>21</v>
      </c>
      <c r="G25" s="9" t="s">
        <v>22</v>
      </c>
      <c r="H25" s="9" t="s">
        <v>34</v>
      </c>
      <c r="I25" s="9" t="s">
        <v>64</v>
      </c>
      <c r="J25" s="10">
        <v>5.65583118E8</v>
      </c>
      <c r="K25" s="9">
        <v>3.0</v>
      </c>
      <c r="L25" s="9">
        <v>0.0</v>
      </c>
      <c r="M25" s="9"/>
      <c r="N25" s="9">
        <f t="shared" si="1"/>
        <v>3</v>
      </c>
      <c r="O25" s="9" t="s">
        <v>63</v>
      </c>
      <c r="P25" s="9" t="s">
        <v>39</v>
      </c>
    </row>
    <row r="26">
      <c r="A26" s="4" t="s">
        <v>65</v>
      </c>
      <c r="B26" s="5" t="s">
        <v>38</v>
      </c>
      <c r="C26" s="6" t="s">
        <v>62</v>
      </c>
      <c r="D26" s="7" t="s">
        <v>63</v>
      </c>
      <c r="E26" s="8" t="s">
        <v>20</v>
      </c>
      <c r="F26" s="9" t="s">
        <v>21</v>
      </c>
      <c r="G26" s="9" t="s">
        <v>22</v>
      </c>
      <c r="H26" s="9" t="s">
        <v>34</v>
      </c>
      <c r="I26" s="10" t="s">
        <v>64</v>
      </c>
      <c r="J26" s="9" t="s">
        <v>66</v>
      </c>
      <c r="K26" s="9">
        <v>6.0</v>
      </c>
      <c r="L26" s="9">
        <v>5.0</v>
      </c>
      <c r="M26" s="9"/>
      <c r="N26" s="9">
        <f t="shared" si="1"/>
        <v>11</v>
      </c>
      <c r="O26" s="9" t="s">
        <v>63</v>
      </c>
      <c r="P26" s="10" t="s">
        <v>39</v>
      </c>
    </row>
    <row r="27">
      <c r="A27" s="4" t="s">
        <v>54</v>
      </c>
      <c r="B27" s="5" t="s">
        <v>29</v>
      </c>
      <c r="C27" s="6" t="s">
        <v>67</v>
      </c>
      <c r="D27" s="7" t="s">
        <v>68</v>
      </c>
      <c r="E27" s="8" t="s">
        <v>20</v>
      </c>
      <c r="F27" s="9" t="s">
        <v>33</v>
      </c>
      <c r="G27" s="9" t="s">
        <v>22</v>
      </c>
      <c r="H27" s="9" t="s">
        <v>23</v>
      </c>
      <c r="I27" s="10" t="s">
        <v>69</v>
      </c>
      <c r="J27" s="9" t="s">
        <v>70</v>
      </c>
      <c r="K27" s="9">
        <v>4.0</v>
      </c>
      <c r="L27" s="9">
        <v>4.0</v>
      </c>
      <c r="M27" s="9"/>
      <c r="N27" s="9">
        <f t="shared" si="1"/>
        <v>8</v>
      </c>
      <c r="O27" s="9" t="s">
        <v>68</v>
      </c>
      <c r="P27" s="9" t="s">
        <v>49</v>
      </c>
    </row>
    <row r="28">
      <c r="A28" s="4" t="s">
        <v>60</v>
      </c>
      <c r="B28" s="5" t="s">
        <v>29</v>
      </c>
      <c r="C28" s="6" t="s">
        <v>71</v>
      </c>
      <c r="D28" s="7" t="s">
        <v>72</v>
      </c>
      <c r="E28" s="8" t="s">
        <v>20</v>
      </c>
      <c r="F28" s="10" t="s">
        <v>45</v>
      </c>
      <c r="G28" s="9" t="s">
        <v>22</v>
      </c>
      <c r="H28" s="9" t="s">
        <v>58</v>
      </c>
      <c r="I28" s="10" t="s">
        <v>73</v>
      </c>
      <c r="J28" s="10">
        <v>5.65933283E8</v>
      </c>
      <c r="K28" s="9">
        <v>2.0</v>
      </c>
      <c r="L28" s="9">
        <v>3.0</v>
      </c>
      <c r="M28" s="9"/>
      <c r="N28" s="9">
        <f t="shared" si="1"/>
        <v>5</v>
      </c>
      <c r="O28" s="9" t="s">
        <v>72</v>
      </c>
      <c r="P28" s="10" t="s">
        <v>26</v>
      </c>
    </row>
    <row r="29">
      <c r="A29" s="4" t="s">
        <v>28</v>
      </c>
      <c r="B29" s="5" t="s">
        <v>17</v>
      </c>
      <c r="C29" s="6" t="s">
        <v>71</v>
      </c>
      <c r="D29" s="7" t="s">
        <v>72</v>
      </c>
      <c r="E29" s="8" t="s">
        <v>20</v>
      </c>
      <c r="F29" s="10" t="s">
        <v>45</v>
      </c>
      <c r="G29" s="9" t="s">
        <v>22</v>
      </c>
      <c r="H29" s="9" t="s">
        <v>58</v>
      </c>
      <c r="I29" s="10" t="s">
        <v>73</v>
      </c>
      <c r="J29" s="10">
        <v>5.65933283E8</v>
      </c>
      <c r="K29" s="9">
        <v>4.0</v>
      </c>
      <c r="L29" s="9">
        <v>3.0</v>
      </c>
      <c r="M29" s="9"/>
      <c r="N29" s="9">
        <f t="shared" si="1"/>
        <v>7</v>
      </c>
      <c r="O29" s="9" t="s">
        <v>72</v>
      </c>
      <c r="P29" s="9" t="s">
        <v>26</v>
      </c>
    </row>
    <row r="30">
      <c r="A30" s="11">
        <v>45801.0</v>
      </c>
      <c r="B30" s="5" t="s">
        <v>29</v>
      </c>
      <c r="C30" s="6" t="s">
        <v>71</v>
      </c>
      <c r="D30" s="7" t="s">
        <v>72</v>
      </c>
      <c r="E30" s="8" t="s">
        <v>20</v>
      </c>
      <c r="F30" s="10" t="s">
        <v>45</v>
      </c>
      <c r="G30" s="9" t="s">
        <v>22</v>
      </c>
      <c r="H30" s="9" t="s">
        <v>58</v>
      </c>
      <c r="I30" s="10" t="s">
        <v>73</v>
      </c>
      <c r="J30" s="10">
        <v>5.65933283E8</v>
      </c>
      <c r="K30" s="9">
        <v>4.0</v>
      </c>
      <c r="L30" s="9">
        <v>5.0</v>
      </c>
      <c r="M30" s="9"/>
      <c r="N30" s="9">
        <f t="shared" si="1"/>
        <v>9</v>
      </c>
      <c r="O30" s="9" t="s">
        <v>72</v>
      </c>
      <c r="P30" s="10" t="s">
        <v>26</v>
      </c>
    </row>
    <row r="31">
      <c r="A31" s="4" t="s">
        <v>74</v>
      </c>
      <c r="B31" s="5" t="s">
        <v>29</v>
      </c>
      <c r="C31" s="6" t="s">
        <v>71</v>
      </c>
      <c r="D31" s="7" t="s">
        <v>72</v>
      </c>
      <c r="E31" s="8" t="s">
        <v>20</v>
      </c>
      <c r="F31" s="10" t="s">
        <v>45</v>
      </c>
      <c r="G31" s="9" t="s">
        <v>22</v>
      </c>
      <c r="H31" s="9" t="s">
        <v>58</v>
      </c>
      <c r="I31" s="10" t="s">
        <v>73</v>
      </c>
      <c r="J31" s="10">
        <v>5.65933283E8</v>
      </c>
      <c r="K31" s="9">
        <v>6.0</v>
      </c>
      <c r="L31" s="9">
        <v>5.0</v>
      </c>
      <c r="M31" s="9"/>
      <c r="N31" s="9">
        <f t="shared" si="1"/>
        <v>11</v>
      </c>
      <c r="O31" s="9" t="s">
        <v>72</v>
      </c>
      <c r="P31" s="9" t="s">
        <v>26</v>
      </c>
    </row>
    <row r="32">
      <c r="A32" s="4" t="s">
        <v>51</v>
      </c>
      <c r="B32" s="5" t="s">
        <v>38</v>
      </c>
      <c r="C32" s="6" t="s">
        <v>71</v>
      </c>
      <c r="D32" s="7" t="s">
        <v>72</v>
      </c>
      <c r="E32" s="8" t="s">
        <v>20</v>
      </c>
      <c r="F32" s="10" t="s">
        <v>45</v>
      </c>
      <c r="G32" s="9" t="s">
        <v>22</v>
      </c>
      <c r="H32" s="9" t="s">
        <v>58</v>
      </c>
      <c r="I32" s="10" t="s">
        <v>73</v>
      </c>
      <c r="J32" s="10">
        <v>5.65933283E8</v>
      </c>
      <c r="K32" s="9">
        <v>2.0</v>
      </c>
      <c r="L32" s="9">
        <v>1.0</v>
      </c>
      <c r="M32" s="9"/>
      <c r="N32" s="9">
        <f t="shared" si="1"/>
        <v>3</v>
      </c>
      <c r="O32" s="9" t="s">
        <v>72</v>
      </c>
      <c r="P32" s="10" t="s">
        <v>26</v>
      </c>
    </row>
    <row r="33">
      <c r="A33" s="4" t="s">
        <v>65</v>
      </c>
      <c r="B33" s="5" t="s">
        <v>38</v>
      </c>
      <c r="C33" s="6" t="s">
        <v>71</v>
      </c>
      <c r="D33" s="7" t="s">
        <v>72</v>
      </c>
      <c r="E33" s="8" t="s">
        <v>20</v>
      </c>
      <c r="F33" s="10" t="s">
        <v>45</v>
      </c>
      <c r="G33" s="9" t="s">
        <v>22</v>
      </c>
      <c r="H33" s="9" t="s">
        <v>58</v>
      </c>
      <c r="I33" s="10" t="s">
        <v>73</v>
      </c>
      <c r="J33" s="10">
        <v>5.65933283E8</v>
      </c>
      <c r="K33" s="9">
        <v>1.0</v>
      </c>
      <c r="L33" s="9">
        <v>5.0</v>
      </c>
      <c r="M33" s="9"/>
      <c r="N33" s="9">
        <f t="shared" si="1"/>
        <v>6</v>
      </c>
      <c r="O33" s="9" t="s">
        <v>72</v>
      </c>
      <c r="P33" s="9" t="s">
        <v>26</v>
      </c>
    </row>
    <row r="34">
      <c r="A34" s="4" t="s">
        <v>52</v>
      </c>
      <c r="B34" s="5" t="s">
        <v>38</v>
      </c>
      <c r="C34" s="6" t="s">
        <v>75</v>
      </c>
      <c r="D34" s="7" t="s">
        <v>76</v>
      </c>
      <c r="E34" s="8" t="s">
        <v>20</v>
      </c>
      <c r="F34" s="9" t="s">
        <v>33</v>
      </c>
      <c r="G34" s="9" t="s">
        <v>22</v>
      </c>
      <c r="H34" s="10" t="s">
        <v>46</v>
      </c>
      <c r="I34" s="10" t="s">
        <v>77</v>
      </c>
      <c r="J34" s="10">
        <v>5.65933283E8</v>
      </c>
      <c r="K34" s="9">
        <v>5.0</v>
      </c>
      <c r="L34" s="9">
        <v>4.0</v>
      </c>
      <c r="M34" s="9"/>
      <c r="N34" s="9">
        <f t="shared" si="1"/>
        <v>9</v>
      </c>
      <c r="O34" s="9" t="s">
        <v>76</v>
      </c>
      <c r="P34" s="9" t="s">
        <v>39</v>
      </c>
    </row>
    <row r="35">
      <c r="A35" s="11">
        <v>45804.0</v>
      </c>
      <c r="B35" s="5" t="s">
        <v>38</v>
      </c>
      <c r="C35" s="6" t="s">
        <v>75</v>
      </c>
      <c r="D35" s="7" t="s">
        <v>76</v>
      </c>
      <c r="E35" s="8" t="s">
        <v>20</v>
      </c>
      <c r="F35" s="9" t="s">
        <v>33</v>
      </c>
      <c r="G35" s="9" t="s">
        <v>22</v>
      </c>
      <c r="H35" s="10" t="s">
        <v>46</v>
      </c>
      <c r="I35" s="10" t="s">
        <v>77</v>
      </c>
      <c r="J35" s="9" t="s">
        <v>78</v>
      </c>
      <c r="K35" s="9">
        <v>7.0</v>
      </c>
      <c r="L35" s="9">
        <v>0.0</v>
      </c>
      <c r="M35" s="9"/>
      <c r="N35" s="9">
        <f t="shared" si="1"/>
        <v>7</v>
      </c>
      <c r="O35" s="9" t="s">
        <v>76</v>
      </c>
      <c r="P35" s="10" t="s">
        <v>39</v>
      </c>
    </row>
    <row r="36">
      <c r="A36" s="4" t="s">
        <v>53</v>
      </c>
      <c r="B36" s="5" t="s">
        <v>17</v>
      </c>
      <c r="C36" s="6" t="s">
        <v>79</v>
      </c>
      <c r="D36" s="7" t="s">
        <v>80</v>
      </c>
      <c r="E36" s="8" t="s">
        <v>20</v>
      </c>
      <c r="F36" s="9" t="s">
        <v>21</v>
      </c>
      <c r="G36" s="9" t="s">
        <v>22</v>
      </c>
      <c r="H36" s="10" t="s">
        <v>34</v>
      </c>
      <c r="I36" s="10" t="s">
        <v>81</v>
      </c>
      <c r="J36" s="10">
        <v>5.65378436E8</v>
      </c>
      <c r="K36" s="9">
        <v>6.0</v>
      </c>
      <c r="L36" s="9">
        <v>5.0</v>
      </c>
      <c r="M36" s="9"/>
      <c r="N36" s="9">
        <f t="shared" si="1"/>
        <v>11</v>
      </c>
      <c r="O36" s="9" t="s">
        <v>80</v>
      </c>
      <c r="P36" s="10" t="s">
        <v>49</v>
      </c>
    </row>
    <row r="37">
      <c r="A37" s="4" t="s">
        <v>50</v>
      </c>
      <c r="B37" s="5" t="s">
        <v>17</v>
      </c>
      <c r="C37" s="6" t="s">
        <v>79</v>
      </c>
      <c r="D37" s="7" t="s">
        <v>80</v>
      </c>
      <c r="E37" s="8" t="s">
        <v>20</v>
      </c>
      <c r="F37" s="10" t="s">
        <v>21</v>
      </c>
      <c r="G37" s="9" t="s">
        <v>22</v>
      </c>
      <c r="H37" s="10" t="s">
        <v>34</v>
      </c>
      <c r="I37" s="10" t="s">
        <v>81</v>
      </c>
      <c r="J37" s="9" t="s">
        <v>82</v>
      </c>
      <c r="K37" s="9">
        <v>4.0</v>
      </c>
      <c r="L37" s="9">
        <v>1.0</v>
      </c>
      <c r="M37" s="9"/>
      <c r="N37" s="9">
        <f t="shared" si="1"/>
        <v>5</v>
      </c>
      <c r="O37" s="9" t="s">
        <v>80</v>
      </c>
      <c r="P37" s="10" t="s">
        <v>49</v>
      </c>
    </row>
    <row r="38">
      <c r="A38" s="4" t="s">
        <v>50</v>
      </c>
      <c r="B38" s="5" t="s">
        <v>29</v>
      </c>
      <c r="C38" s="6" t="s">
        <v>83</v>
      </c>
      <c r="D38" s="7" t="s">
        <v>84</v>
      </c>
      <c r="E38" s="8" t="s">
        <v>20</v>
      </c>
      <c r="F38" s="10" t="s">
        <v>45</v>
      </c>
      <c r="G38" s="9" t="s">
        <v>22</v>
      </c>
      <c r="H38" s="9" t="s">
        <v>58</v>
      </c>
      <c r="I38" s="10" t="s">
        <v>85</v>
      </c>
      <c r="J38" s="9" t="s">
        <v>86</v>
      </c>
      <c r="K38" s="9">
        <v>6.0</v>
      </c>
      <c r="L38" s="9">
        <v>0.0</v>
      </c>
      <c r="M38" s="9"/>
      <c r="N38" s="9">
        <f t="shared" si="1"/>
        <v>6</v>
      </c>
      <c r="O38" s="9" t="s">
        <v>84</v>
      </c>
      <c r="P38" s="10" t="s">
        <v>26</v>
      </c>
    </row>
    <row r="39">
      <c r="A39" s="4" t="s">
        <v>27</v>
      </c>
      <c r="B39" s="5" t="s">
        <v>38</v>
      </c>
      <c r="C39" s="6" t="s">
        <v>83</v>
      </c>
      <c r="D39" s="7" t="s">
        <v>84</v>
      </c>
      <c r="E39" s="8" t="s">
        <v>20</v>
      </c>
      <c r="F39" s="10" t="s">
        <v>45</v>
      </c>
      <c r="G39" s="9" t="s">
        <v>22</v>
      </c>
      <c r="H39" s="9" t="s">
        <v>58</v>
      </c>
      <c r="I39" s="10" t="s">
        <v>85</v>
      </c>
      <c r="J39" s="10">
        <v>5.65348893E8</v>
      </c>
      <c r="K39" s="9">
        <v>5.0</v>
      </c>
      <c r="L39" s="9">
        <v>1.0</v>
      </c>
      <c r="M39" s="9"/>
      <c r="N39" s="9">
        <f t="shared" si="1"/>
        <v>6</v>
      </c>
      <c r="O39" s="9" t="s">
        <v>84</v>
      </c>
      <c r="P39" s="9" t="s">
        <v>26</v>
      </c>
    </row>
    <row r="40">
      <c r="A40" s="4" t="s">
        <v>87</v>
      </c>
      <c r="B40" s="5" t="s">
        <v>29</v>
      </c>
      <c r="C40" s="6" t="s">
        <v>83</v>
      </c>
      <c r="D40" s="7" t="s">
        <v>84</v>
      </c>
      <c r="E40" s="8" t="s">
        <v>20</v>
      </c>
      <c r="F40" s="9" t="s">
        <v>45</v>
      </c>
      <c r="G40" s="9" t="s">
        <v>22</v>
      </c>
      <c r="H40" s="9" t="s">
        <v>58</v>
      </c>
      <c r="I40" s="10" t="s">
        <v>85</v>
      </c>
      <c r="J40" s="10">
        <v>5.65348893E8</v>
      </c>
      <c r="K40" s="9">
        <v>5.0</v>
      </c>
      <c r="L40" s="9">
        <v>1.0</v>
      </c>
      <c r="M40" s="9"/>
      <c r="N40" s="9">
        <f t="shared" si="1"/>
        <v>6</v>
      </c>
      <c r="O40" s="9" t="s">
        <v>84</v>
      </c>
      <c r="P40" s="10" t="s">
        <v>26</v>
      </c>
    </row>
    <row r="41">
      <c r="A41" s="4" t="s">
        <v>88</v>
      </c>
      <c r="B41" s="5" t="s">
        <v>17</v>
      </c>
      <c r="C41" s="6" t="s">
        <v>83</v>
      </c>
      <c r="D41" s="7" t="s">
        <v>84</v>
      </c>
      <c r="E41" s="8" t="s">
        <v>20</v>
      </c>
      <c r="F41" s="10" t="s">
        <v>45</v>
      </c>
      <c r="G41" s="9" t="s">
        <v>22</v>
      </c>
      <c r="H41" s="9" t="s">
        <v>58</v>
      </c>
      <c r="I41" s="10" t="s">
        <v>85</v>
      </c>
      <c r="J41" s="10">
        <v>5.65348893E8</v>
      </c>
      <c r="K41" s="9">
        <v>4.0</v>
      </c>
      <c r="L41" s="9">
        <v>3.0</v>
      </c>
      <c r="M41" s="9"/>
      <c r="N41" s="9">
        <f t="shared" si="1"/>
        <v>7</v>
      </c>
      <c r="O41" s="9" t="s">
        <v>84</v>
      </c>
      <c r="P41" s="9" t="s">
        <v>26</v>
      </c>
    </row>
    <row r="42">
      <c r="P42" s="12"/>
    </row>
  </sheetData>
  <drawing r:id="rId1"/>
</worksheet>
</file>